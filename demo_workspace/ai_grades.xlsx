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Summary" sheetId="2" state="visible" r:id="rId2"/>
    <sheet name="Part scores" sheetId="3" state="visible" r:id="rId3"/>
    <sheet name="Explanations" sheetId="4" state="visible" r:id="rId4"/>
    <sheet name="Manifest" sheetId="5" state="visible" r:id="rId5"/>
    <sheet name="Run info" sheetId="6" state="visible" r:id="rId6"/>
  </sheets>
  <definedNames>
    <definedName name="_xlnm.Print_Titles" localSheetId="0">'Scores'!$1:$2</definedName>
    <definedName name="_xlnm._FilterDatabase" localSheetId="1" hidden="1">'Summary'!$A$1:$H$3</definedName>
    <definedName name="_xlnm.Print_Titles" localSheetId="1">'Summary'!$1:$1</definedName>
    <definedName name="_xlnm.Print_Titles" localSheetId="2">'Part scores'!$1:$2</definedName>
    <definedName name="_xlnm._FilterDatabase" localSheetId="3" hidden="1">'Explanations'!$A$1:$I$11</definedName>
    <definedName name="_xlnm.Print_Titles" localSheetId="3">'Explanations'!$1:$1</definedName>
    <definedName name="_xlnm._FilterDatabase" localSheetId="4" hidden="1">'Manifest'!$A$1:$E$6</definedName>
    <definedName name="_xlnm.Print_Titles" localSheetId="4">'Manifest'!$1:$1</definedName>
    <definedName name="_xlnm._FilterDatabase" localSheetId="5" hidden="1">'Run info'!$A$1:$B$27</definedName>
    <definedName name="_xlnm.Print_Titles" localSheetId="5">'Run info'!$1:$1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rgb="00666666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444444"/>
      <sz val="11"/>
    </font>
    <font>
      <name val="Calibri"/>
      <color rgb="0017633B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73D4C"/>
      </patternFill>
    </fill>
    <fill>
      <patternFill patternType="solid">
        <fgColor rgb="00F2F6F7"/>
      </patternFill>
    </fill>
    <fill>
      <patternFill patternType="solid">
        <fgColor rgb="00DFECEB"/>
      </patternFill>
    </fill>
    <fill>
      <patternFill patternType="solid">
        <fgColor rgb="00FFF0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49" fontId="2" fillId="2" borderId="0" applyAlignment="1" pivotButton="0" quotePrefix="0" xfId="0">
      <alignment vertical="center" wrapText="1"/>
    </xf>
    <xf numFmtId="49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top"/>
    </xf>
    <xf numFmtId="49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/>
    </xf>
    <xf numFmtId="0" fontId="6" fillId="4" borderId="0" applyAlignment="1" pivotButton="0" quotePrefix="0" xfId="0">
      <alignment horizontal="right" vertical="top"/>
    </xf>
    <xf numFmtId="49" fontId="5" fillId="5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right" vertical="top"/>
    </xf>
    <xf numFmtId="49" fontId="5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right" vertical="top"/>
    </xf>
    <xf numFmtId="0" fontId="3" fillId="5" borderId="0" applyAlignment="1" pivotButton="0" quotePrefix="0" xfId="0">
      <alignment horizontal="right" vertical="top"/>
    </xf>
    <xf numFmtId="0" fontId="5" fillId="5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right" vertical="top"/>
    </xf>
    <xf numFmtId="49" fontId="1" fillId="3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Exam compiler</author>
  </authors>
  <commentList>
    <comment ref="B1" authorId="0" shapeId="0">
      <text>
        <t>Speed unit
Maximum: 1
Source: configured manifest</t>
      </text>
    </comment>
    <comment ref="C1" authorId="0" shapeId="0">
      <text>
        <t>Distance relation
Maximum: 1
Source: configured manifest</t>
      </text>
    </comment>
    <comment ref="D1" authorId="0" shapeId="0">
      <text>
        <t>Distance evaluation
Maximum: 1
Source: configured manifest</t>
      </text>
    </comment>
    <comment ref="E1" authorId="0" shapeId="0">
      <text>
        <t>Time scaling
Maximum: 1
Source: configured manifest</t>
      </text>
    </comment>
    <comment ref="F1" authorId="0" shapeId="0">
      <text>
        <t>Later distance
Maximum: 2
Source: configured manifest</t>
      </text>
    </comment>
    <comment ref="A3" authorId="0" shapeId="0">
      <text>
        <t>Source: /work/courses/dslab/team-16/exam-toolkit-dhest/demo_workspace/evals/Exam001.json
Exam-level review flag: False</t>
      </text>
    </comment>
    <comment ref="A4" authorId="0" shapeId="0">
      <text>
        <t>Source: /work/courses/dslab/team-16/exam-toolkit-dhest/demo_workspace/evals/Exam002.json
Exam-level review flag: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G4"/>
  <sheetViews>
    <sheetView showGridLines="0" zoomScale="9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32" customHeight="1">
      <c r="A1" s="1" t="inlineStr">
        <is>
          <t>Exam Number</t>
        </is>
      </c>
      <c r="B1" s="1" t="inlineStr">
        <is>
          <t>1.a.a</t>
        </is>
      </c>
      <c r="C1" s="1" t="inlineStr">
        <is>
          <t>2.a.a</t>
        </is>
      </c>
      <c r="D1" s="1" t="inlineStr">
        <is>
          <t>2.a.b</t>
        </is>
      </c>
      <c r="E1" s="1" t="inlineStr">
        <is>
          <t>2.b.a</t>
        </is>
      </c>
      <c r="F1" s="1" t="inlineStr">
        <is>
          <t>2.b.b</t>
        </is>
      </c>
      <c r="G1" s="1" t="inlineStr">
        <is>
          <t>Total</t>
        </is>
      </c>
    </row>
    <row r="2" ht="23" customHeight="1">
      <c r="A2" s="2" t="inlineStr">
        <is>
          <t>Maximum Points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2</v>
      </c>
      <c r="G2" s="3" t="n">
        <f>SUM(B2:F2)</f>
        <v>6</v>
      </c>
    </row>
    <row r="3" ht="23" customHeight="1">
      <c r="A3" s="4" t="inlineStr">
        <is>
          <t>001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2</v>
      </c>
      <c r="G3" s="6" t="n">
        <f>SUM(B3:F3)</f>
        <v>6</v>
      </c>
    </row>
    <row r="4" ht="23" customHeight="1">
      <c r="A4" s="7" t="inlineStr">
        <is>
          <t>002</t>
        </is>
      </c>
      <c r="B4" s="8" t="n">
        <v>0</v>
      </c>
      <c r="C4" s="8" t="n">
        <v>1</v>
      </c>
      <c r="D4" s="8" t="n">
        <v>0</v>
      </c>
      <c r="E4" s="8" t="n">
        <v>1</v>
      </c>
      <c r="F4" s="8" t="n">
        <v>2</v>
      </c>
      <c r="G4" s="6" t="n">
        <f>SUM(B4:F4)</f>
        <v>4</v>
      </c>
    </row>
  </sheetData>
  <printOptions horizontalCentered="0"/>
  <pageMargins left="0.75" right="0.75" top="1" bottom="1" header="0.5" footer="0.5"/>
  <pageSetup orientation="landscape" paperSize="9" fitToHeight="0" fitToWidth="1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9" customWidth="1" min="3" max="3"/>
    <col width="9" customWidth="1" min="4" max="4"/>
    <col width="12" customWidth="1" min="5" max="5"/>
    <col width="14" customWidth="1" min="6" max="6"/>
    <col width="90" customWidth="1" min="7" max="7"/>
    <col width="31" customWidth="1" min="8" max="8"/>
  </cols>
  <sheetData>
    <row r="1" ht="32" customHeight="1">
      <c r="A1" s="1" t="inlineStr">
        <is>
          <t>Exam Number</t>
        </is>
      </c>
      <c r="B1" s="1" t="inlineStr">
        <is>
          <t>Exam File Stem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Total</t>
        </is>
      </c>
      <c r="F1" s="1" t="inlineStr">
        <is>
          <t>Human review</t>
        </is>
      </c>
      <c r="G1" s="1" t="inlineStr">
        <is>
          <t>Full review reason</t>
        </is>
      </c>
      <c r="H1" s="1" t="inlineStr">
        <is>
          <t>Source JSON</t>
        </is>
      </c>
    </row>
    <row r="2" ht="53" customHeight="1">
      <c r="A2" s="9" t="inlineStr">
        <is>
          <t>001</t>
        </is>
      </c>
      <c r="B2" s="9" t="inlineStr">
        <is>
          <t>Exam001</t>
        </is>
      </c>
      <c r="C2" s="10" t="n">
        <f>SUM('Scores'!B3:B3)</f>
        <v>1</v>
      </c>
      <c r="D2" s="10" t="n">
        <f>SUM('Scores'!C3:F3)</f>
        <v>5</v>
      </c>
      <c r="E2" s="10" t="n">
        <f>SUM('Scores'!B3:F3)</f>
        <v>6</v>
      </c>
      <c r="F2" s="8" t="b">
        <v>0</v>
      </c>
      <c r="G2" s="9" t="inlineStr"/>
      <c r="H2" s="9" t="inlineStr">
        <is>
          <t>/work/courses/dslab/team-16/exam-toolkit-dhest/demo_workspace/evals/Exam001.json</t>
        </is>
      </c>
    </row>
    <row r="3" ht="53" customHeight="1">
      <c r="A3" s="7" t="inlineStr">
        <is>
          <t>002</t>
        </is>
      </c>
      <c r="B3" s="7" t="inlineStr">
        <is>
          <t>Exam002</t>
        </is>
      </c>
      <c r="C3" s="11" t="n">
        <f>SUM('Scores'!B4:B4)</f>
        <v>0</v>
      </c>
      <c r="D3" s="11" t="n">
        <f>SUM('Scores'!C4:F4)</f>
        <v>4</v>
      </c>
      <c r="E3" s="11" t="n">
        <f>SUM('Scores'!B4:F4)</f>
        <v>4</v>
      </c>
      <c r="F3" s="12" t="b">
        <v>1</v>
      </c>
      <c r="G3" s="7" t="inlineStr">
        <is>
          <t>1.a.a, PDF p. 1: the final selected option is deliberately ambiguous in this synthetic fixture. Check the original response; do not assume the intended correct choice.</t>
        </is>
      </c>
      <c r="H3" s="7" t="inlineStr">
        <is>
          <t>/work/courses/dslab/team-16/exam-toolkit-dhest/demo_workspace/evals/Exam002.json</t>
        </is>
      </c>
    </row>
  </sheetData>
  <autoFilter ref="A1:H3"/>
  <printOptions horizontalCentered="0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zoomScale="9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2" customWidth="1" min="5" max="5"/>
  </cols>
  <sheetData>
    <row r="1" ht="32" customHeight="1">
      <c r="A1" s="1" t="inlineStr">
        <is>
          <t>Exam Number</t>
        </is>
      </c>
      <c r="B1" s="1" t="inlineStr">
        <is>
          <t>1.a</t>
        </is>
      </c>
      <c r="C1" s="1" t="inlineStr">
        <is>
          <t>2.a</t>
        </is>
      </c>
      <c r="D1" s="1" t="inlineStr">
        <is>
          <t>2.b</t>
        </is>
      </c>
      <c r="E1" s="1" t="inlineStr">
        <is>
          <t>Total</t>
        </is>
      </c>
    </row>
    <row r="2" ht="23" customHeight="1">
      <c r="A2" s="2" t="inlineStr">
        <is>
          <t>Maximum Points</t>
        </is>
      </c>
      <c r="B2" s="3" t="n">
        <f>SUM('Scores'!B2:B2)</f>
        <v>1</v>
      </c>
      <c r="C2" s="3" t="n">
        <f>SUM('Scores'!C2:D2)</f>
        <v>2</v>
      </c>
      <c r="D2" s="3" t="n">
        <f>SUM('Scores'!E2:F2)</f>
        <v>3</v>
      </c>
      <c r="E2" s="3" t="n">
        <f>SUM('Scores'!B2:F2)</f>
        <v>6</v>
      </c>
    </row>
    <row r="3" ht="23" customHeight="1">
      <c r="A3" s="4" t="inlineStr">
        <is>
          <t>001</t>
        </is>
      </c>
      <c r="B3" s="13" t="n">
        <f>SUM('Scores'!B3:B3)</f>
        <v>1</v>
      </c>
      <c r="C3" s="13" t="n">
        <f>SUM('Scores'!C3:D3)</f>
        <v>2</v>
      </c>
      <c r="D3" s="13" t="n">
        <f>SUM('Scores'!E3:F3)</f>
        <v>3</v>
      </c>
      <c r="E3" s="13" t="n">
        <f>SUM('Scores'!B3:F3)</f>
        <v>6</v>
      </c>
    </row>
    <row r="4" ht="23" customHeight="1">
      <c r="A4" s="9" t="inlineStr">
        <is>
          <t>002</t>
        </is>
      </c>
      <c r="B4" s="10" t="n">
        <f>SUM('Scores'!B4:B4)</f>
        <v>0</v>
      </c>
      <c r="C4" s="10" t="n">
        <f>SUM('Scores'!C4:D4)</f>
        <v>1</v>
      </c>
      <c r="D4" s="10" t="n">
        <f>SUM('Scores'!E4:F4)</f>
        <v>3</v>
      </c>
      <c r="E4" s="10" t="n">
        <f>SUM('Scores'!B4:F4)</f>
        <v>4</v>
      </c>
    </row>
  </sheetData>
  <printOptions horizontalCentered="0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36" customWidth="1" min="4" max="4"/>
    <col width="14" customWidth="1" min="5" max="5"/>
    <col width="17" customWidth="1" min="6" max="6"/>
    <col width="95" customWidth="1" min="7" max="7"/>
    <col width="31" customWidth="1" min="8" max="8"/>
    <col width="23" customWidth="1" min="9" max="9"/>
  </cols>
  <sheetData>
    <row r="1" ht="32" customHeight="1">
      <c r="A1" s="1" t="inlineStr">
        <is>
          <t>exam_number</t>
        </is>
      </c>
      <c r="B1" s="1" t="inlineStr">
        <is>
          <t>part_id</t>
        </is>
      </c>
      <c r="C1" s="1" t="inlineStr">
        <is>
          <t>rubric_item</t>
        </is>
      </c>
      <c r="D1" s="1" t="inlineStr">
        <is>
          <t>rubric_name</t>
        </is>
      </c>
      <c r="E1" s="1" t="inlineStr">
        <is>
          <t>max_points</t>
        </is>
      </c>
      <c r="F1" s="1" t="inlineStr">
        <is>
          <t>awarded_points</t>
        </is>
      </c>
      <c r="G1" s="1" t="inlineStr">
        <is>
          <t>explanation</t>
        </is>
      </c>
      <c r="H1" s="1" t="inlineStr">
        <is>
          <t>source_json</t>
        </is>
      </c>
      <c r="I1" s="1" t="inlineStr">
        <is>
          <t>exam_file</t>
        </is>
      </c>
    </row>
    <row r="2" ht="53" customHeight="1">
      <c r="A2" s="9" t="inlineStr">
        <is>
          <t>001</t>
        </is>
      </c>
      <c r="B2" s="9" t="inlineStr">
        <is>
          <t>1.a</t>
        </is>
      </c>
      <c r="C2" s="9" t="inlineStr">
        <is>
          <t>1.a.a</t>
        </is>
      </c>
      <c r="D2" s="9" t="inlineStr">
        <is>
          <t>Speed unit</t>
        </is>
      </c>
      <c r="E2" s="8" t="n">
        <v>1</v>
      </c>
      <c r="F2" s="8" t="n">
        <v>1</v>
      </c>
      <c r="G2" s="9" t="inlineStr">
        <is>
          <t>PDF p. 1: the final choice is option 2 (m/s).</t>
        </is>
      </c>
      <c r="H2" s="9" t="inlineStr">
        <is>
          <t>/work/courses/dslab/team-16/exam-toolkit-dhest/demo_workspace/evals/Exam001.json</t>
        </is>
      </c>
      <c r="I2" s="9" t="inlineStr">
        <is>
          <t>Exam001</t>
        </is>
      </c>
    </row>
    <row r="3" ht="53" customHeight="1">
      <c r="A3" s="4" t="inlineStr">
        <is>
          <t>001</t>
        </is>
      </c>
      <c r="B3" s="4" t="inlineStr">
        <is>
          <t>2.a</t>
        </is>
      </c>
      <c r="C3" s="4" t="inlineStr">
        <is>
          <t>2.a.a</t>
        </is>
      </c>
      <c r="D3" s="4" t="inlineStr">
        <is>
          <t>Distance relation</t>
        </is>
      </c>
      <c r="E3" s="5" t="n">
        <v>1</v>
      </c>
      <c r="F3" s="5" t="n">
        <v>1</v>
      </c>
      <c r="G3" s="4" t="inlineStr">
        <is>
          <t>PDF p. 1: uses distance = speed times time.</t>
        </is>
      </c>
      <c r="H3" s="4" t="inlineStr">
        <is>
          <t>/work/courses/dslab/team-16/exam-toolkit-dhest/demo_workspace/evals/Exam001.json</t>
        </is>
      </c>
      <c r="I3" s="4" t="inlineStr">
        <is>
          <t>Exam001</t>
        </is>
      </c>
    </row>
    <row r="4" ht="53" customHeight="1">
      <c r="A4" s="9" t="inlineStr">
        <is>
          <t>001</t>
        </is>
      </c>
      <c r="B4" s="9" t="inlineStr">
        <is>
          <t>2.a</t>
        </is>
      </c>
      <c r="C4" s="9" t="inlineStr">
        <is>
          <t>2.a.b</t>
        </is>
      </c>
      <c r="D4" s="9" t="inlineStr">
        <is>
          <t>Distance evaluation</t>
        </is>
      </c>
      <c r="E4" s="8" t="n">
        <v>1</v>
      </c>
      <c r="F4" s="8" t="n">
        <v>1</v>
      </c>
      <c r="G4" s="9" t="inlineStr">
        <is>
          <t>PDF p. 1: obtains 12 m.</t>
        </is>
      </c>
      <c r="H4" s="9" t="inlineStr">
        <is>
          <t>/work/courses/dslab/team-16/exam-toolkit-dhest/demo_workspace/evals/Exam001.json</t>
        </is>
      </c>
      <c r="I4" s="9" t="inlineStr">
        <is>
          <t>Exam001</t>
        </is>
      </c>
    </row>
    <row r="5" ht="53" customHeight="1">
      <c r="A5" s="4" t="inlineStr">
        <is>
          <t>001</t>
        </is>
      </c>
      <c r="B5" s="4" t="inlineStr">
        <is>
          <t>2.b</t>
        </is>
      </c>
      <c r="C5" s="4" t="inlineStr">
        <is>
          <t>2.b.a</t>
        </is>
      </c>
      <c r="D5" s="4" t="inlineStr">
        <is>
          <t>Time scaling</t>
        </is>
      </c>
      <c r="E5" s="5" t="n">
        <v>1</v>
      </c>
      <c r="F5" s="5" t="n">
        <v>1</v>
      </c>
      <c r="G5" s="4" t="inlineStr">
        <is>
          <t>PDF p. 1: identifies a factor of three in the time and distance.</t>
        </is>
      </c>
      <c r="H5" s="4" t="inlineStr">
        <is>
          <t>/work/courses/dslab/team-16/exam-toolkit-dhest/demo_workspace/evals/Exam001.json</t>
        </is>
      </c>
      <c r="I5" s="4" t="inlineStr">
        <is>
          <t>Exam001</t>
        </is>
      </c>
    </row>
    <row r="6" ht="53" customHeight="1">
      <c r="A6" s="9" t="inlineStr">
        <is>
          <t>001</t>
        </is>
      </c>
      <c r="B6" s="9" t="inlineStr">
        <is>
          <t>2.b</t>
        </is>
      </c>
      <c r="C6" s="9" t="inlineStr">
        <is>
          <t>2.b.b</t>
        </is>
      </c>
      <c r="D6" s="9" t="inlineStr">
        <is>
          <t>Later distance</t>
        </is>
      </c>
      <c r="E6" s="8" t="n">
        <v>2</v>
      </c>
      <c r="F6" s="8" t="n">
        <v>2</v>
      </c>
      <c r="G6" s="9" t="inlineStr">
        <is>
          <t>PDF p. 1: obtains 36 m.</t>
        </is>
      </c>
      <c r="H6" s="9" t="inlineStr">
        <is>
          <t>/work/courses/dslab/team-16/exam-toolkit-dhest/demo_workspace/evals/Exam001.json</t>
        </is>
      </c>
      <c r="I6" s="9" t="inlineStr">
        <is>
          <t>Exam001</t>
        </is>
      </c>
    </row>
    <row r="7" ht="53" customHeight="1">
      <c r="A7" s="4" t="inlineStr">
        <is>
          <t>002</t>
        </is>
      </c>
      <c r="B7" s="4" t="inlineStr">
        <is>
          <t>1.a</t>
        </is>
      </c>
      <c r="C7" s="4" t="inlineStr">
        <is>
          <t>1.a.a</t>
        </is>
      </c>
      <c r="D7" s="4" t="inlineStr">
        <is>
          <t>Speed unit</t>
        </is>
      </c>
      <c r="E7" s="5" t="n">
        <v>1</v>
      </c>
      <c r="F7" s="5" t="n">
        <v>0</v>
      </c>
      <c r="G7" s="4" t="inlineStr">
        <is>
          <t>PDF p. 1: ambiguous final selection; provisional zero, human review requested.</t>
        </is>
      </c>
      <c r="H7" s="4" t="inlineStr">
        <is>
          <t>/work/courses/dslab/team-16/exam-toolkit-dhest/demo_workspace/evals/Exam002.json</t>
        </is>
      </c>
      <c r="I7" s="4" t="inlineStr">
        <is>
          <t>Exam002</t>
        </is>
      </c>
    </row>
    <row r="8" ht="53" customHeight="1">
      <c r="A8" s="9" t="inlineStr">
        <is>
          <t>002</t>
        </is>
      </c>
      <c r="B8" s="9" t="inlineStr">
        <is>
          <t>2.a</t>
        </is>
      </c>
      <c r="C8" s="9" t="inlineStr">
        <is>
          <t>2.a.a</t>
        </is>
      </c>
      <c r="D8" s="9" t="inlineStr">
        <is>
          <t>Distance relation</t>
        </is>
      </c>
      <c r="E8" s="8" t="n">
        <v>1</v>
      </c>
      <c r="F8" s="8" t="n">
        <v>1</v>
      </c>
      <c r="G8" s="9" t="inlineStr">
        <is>
          <t>PDF p. 1: uses distance = speed times time.</t>
        </is>
      </c>
      <c r="H8" s="9" t="inlineStr">
        <is>
          <t>/work/courses/dslab/team-16/exam-toolkit-dhest/demo_workspace/evals/Exam002.json</t>
        </is>
      </c>
      <c r="I8" s="9" t="inlineStr">
        <is>
          <t>Exam002</t>
        </is>
      </c>
    </row>
    <row r="9" ht="53" customHeight="1">
      <c r="A9" s="4" t="inlineStr">
        <is>
          <t>002</t>
        </is>
      </c>
      <c r="B9" s="4" t="inlineStr">
        <is>
          <t>2.a</t>
        </is>
      </c>
      <c r="C9" s="4" t="inlineStr">
        <is>
          <t>2.a.b</t>
        </is>
      </c>
      <c r="D9" s="4" t="inlineStr">
        <is>
          <t>Distance evaluation</t>
        </is>
      </c>
      <c r="E9" s="5" t="n">
        <v>1</v>
      </c>
      <c r="F9" s="5" t="n">
        <v>0</v>
      </c>
      <c r="G9" s="4" t="inlineStr">
        <is>
          <t>PDF p. 1: 4 x 3 is incorrectly evaluated as 10; relation credit is separate.</t>
        </is>
      </c>
      <c r="H9" s="4" t="inlineStr">
        <is>
          <t>/work/courses/dslab/team-16/exam-toolkit-dhest/demo_workspace/evals/Exam002.json</t>
        </is>
      </c>
      <c r="I9" s="4" t="inlineStr">
        <is>
          <t>Exam002</t>
        </is>
      </c>
    </row>
    <row r="10" ht="53" customHeight="1">
      <c r="A10" s="9" t="inlineStr">
        <is>
          <t>002</t>
        </is>
      </c>
      <c r="B10" s="9" t="inlineStr">
        <is>
          <t>2.b</t>
        </is>
      </c>
      <c r="C10" s="9" t="inlineStr">
        <is>
          <t>2.b.a</t>
        </is>
      </c>
      <c r="D10" s="9" t="inlineStr">
        <is>
          <t>Time scaling</t>
        </is>
      </c>
      <c r="E10" s="8" t="n">
        <v>1</v>
      </c>
      <c r="F10" s="8" t="n">
        <v>1</v>
      </c>
      <c r="G10" s="9" t="inlineStr">
        <is>
          <t>PDF p. 1: identifies a factor of three in the time and distance.</t>
        </is>
      </c>
      <c r="H10" s="9" t="inlineStr">
        <is>
          <t>/work/courses/dslab/team-16/exam-toolkit-dhest/demo_workspace/evals/Exam002.json</t>
        </is>
      </c>
      <c r="I10" s="9" t="inlineStr">
        <is>
          <t>Exam002</t>
        </is>
      </c>
    </row>
    <row r="11" ht="53" customHeight="1">
      <c r="A11" s="4" t="inlineStr">
        <is>
          <t>002</t>
        </is>
      </c>
      <c r="B11" s="4" t="inlineStr">
        <is>
          <t>2.b</t>
        </is>
      </c>
      <c r="C11" s="4" t="inlineStr">
        <is>
          <t>2.b.b</t>
        </is>
      </c>
      <c r="D11" s="4" t="inlineStr">
        <is>
          <t>Later distance</t>
        </is>
      </c>
      <c r="E11" s="5" t="n">
        <v>2</v>
      </c>
      <c r="F11" s="5" t="n">
        <v>2</v>
      </c>
      <c r="G11" s="4" t="inlineStr">
        <is>
          <t>PDF p. 1: correctly triples the earlier 10 m to 30 m; full follow-through credit, without penalizing the arithmetic error again.</t>
        </is>
      </c>
      <c r="H11" s="4" t="inlineStr">
        <is>
          <t>/work/courses/dslab/team-16/exam-toolkit-dhest/demo_workspace/evals/Exam002.json</t>
        </is>
      </c>
      <c r="I11" s="4" t="inlineStr">
        <is>
          <t>Exam002</t>
        </is>
      </c>
    </row>
  </sheetData>
  <autoFilter ref="A1:I11"/>
  <printOptions horizontalCentered="0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64" customWidth="1" min="3" max="3"/>
    <col width="14" customWidth="1" min="4" max="4"/>
    <col width="24" customWidth="1" min="5" max="5"/>
  </cols>
  <sheetData>
    <row r="1" ht="32" customHeight="1">
      <c r="A1" s="1" t="inlineStr">
        <is>
          <t>rubric_item</t>
        </is>
      </c>
      <c r="B1" s="1" t="inlineStr">
        <is>
          <t>part_id</t>
        </is>
      </c>
      <c r="C1" s="1" t="inlineStr">
        <is>
          <t>rubric_name</t>
        </is>
      </c>
      <c r="D1" s="1" t="inlineStr">
        <is>
          <t>max_points</t>
        </is>
      </c>
      <c r="E1" s="1" t="inlineStr">
        <is>
          <t>scoring_type</t>
        </is>
      </c>
    </row>
    <row r="2" ht="23" customHeight="1">
      <c r="A2" s="14" t="inlineStr">
        <is>
          <t>1.a.a</t>
        </is>
      </c>
      <c r="B2" s="14" t="inlineStr">
        <is>
          <t>1.a</t>
        </is>
      </c>
      <c r="C2" s="14" t="inlineStr">
        <is>
          <t>Speed unit</t>
        </is>
      </c>
      <c r="D2" s="15" t="n">
        <v>1</v>
      </c>
      <c r="E2" s="14" t="inlineStr">
        <is>
          <t>(0, 1)</t>
        </is>
      </c>
    </row>
    <row r="3" ht="23" customHeight="1">
      <c r="A3" s="16" t="inlineStr">
        <is>
          <t>2.a.a</t>
        </is>
      </c>
      <c r="B3" s="16" t="inlineStr">
        <is>
          <t>2.a</t>
        </is>
      </c>
      <c r="C3" s="16" t="inlineStr">
        <is>
          <t>Distance relation</t>
        </is>
      </c>
      <c r="D3" s="17" t="n">
        <v>1</v>
      </c>
      <c r="E3" s="16" t="inlineStr">
        <is>
          <t>Step 0.5</t>
        </is>
      </c>
    </row>
    <row r="4" ht="23" customHeight="1">
      <c r="A4" s="14" t="inlineStr">
        <is>
          <t>2.a.b</t>
        </is>
      </c>
      <c r="B4" s="14" t="inlineStr">
        <is>
          <t>2.a</t>
        </is>
      </c>
      <c r="C4" s="14" t="inlineStr">
        <is>
          <t>Distance evaluation</t>
        </is>
      </c>
      <c r="D4" s="15" t="n">
        <v>1</v>
      </c>
      <c r="E4" s="14" t="inlineStr">
        <is>
          <t>Continuous fractional</t>
        </is>
      </c>
    </row>
    <row r="5" ht="23" customHeight="1">
      <c r="A5" s="16" t="inlineStr">
        <is>
          <t>2.b.a</t>
        </is>
      </c>
      <c r="B5" s="16" t="inlineStr">
        <is>
          <t>2.b</t>
        </is>
      </c>
      <c r="C5" s="16" t="inlineStr">
        <is>
          <t>Time scaling</t>
        </is>
      </c>
      <c r="D5" s="17" t="n">
        <v>1</v>
      </c>
      <c r="E5" s="16" t="inlineStr">
        <is>
          <t>(0, 1)</t>
        </is>
      </c>
    </row>
    <row r="6" ht="23" customHeight="1">
      <c r="A6" s="14" t="inlineStr">
        <is>
          <t>2.b.b</t>
        </is>
      </c>
      <c r="B6" s="14" t="inlineStr">
        <is>
          <t>2.b</t>
        </is>
      </c>
      <c r="C6" s="14" t="inlineStr">
        <is>
          <t>Later distance</t>
        </is>
      </c>
      <c r="D6" s="15" t="n">
        <v>2</v>
      </c>
      <c r="E6" s="14" t="inlineStr">
        <is>
          <t>Step 0.5</t>
        </is>
      </c>
    </row>
  </sheetData>
  <autoFilter ref="A1:E6"/>
  <printOptions horizontalCentered="0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23" customHeight="1">
      <c r="A2" s="14" t="inlineStr">
        <is>
          <t>Compiler</t>
        </is>
      </c>
      <c r="B2" s="14" t="inlineStr">
        <is>
          <t>EXAM_TOOLKIT_COMPILER_1.0.0</t>
        </is>
      </c>
    </row>
    <row r="3" ht="23" customHeight="1">
      <c r="A3" s="16" t="inlineStr">
        <is>
          <t>Bundle</t>
        </is>
      </c>
      <c r="B3" s="16" t="inlineStr">
        <is>
          <t>SYNTHETIC_CONSTANT_SPEED_V1</t>
        </is>
      </c>
    </row>
    <row r="4" ht="23" customHeight="1">
      <c r="A4" s="14" t="inlineStr">
        <is>
          <t>Run ID</t>
        </is>
      </c>
      <c r="B4" s="14" t="inlineStr">
        <is>
          <t>20261027T092819Z_9954d4beab</t>
        </is>
      </c>
    </row>
    <row r="5" ht="23" customHeight="1">
      <c r="A5" s="16" t="inlineStr">
        <is>
          <t>Generated UTC</t>
        </is>
      </c>
      <c r="B5" s="16" t="inlineStr">
        <is>
          <t>2026-10-27T09:28:19+00:00</t>
        </is>
      </c>
    </row>
    <row r="6" ht="23" customHeight="1">
      <c r="A6" s="14" t="inlineStr">
        <is>
          <t>Input JSON directory</t>
        </is>
      </c>
      <c r="B6" s="14" t="inlineStr">
        <is>
          <t>/work/courses/dslab/team-16/exam-toolkit-dhest/demo_workspace/evals</t>
        </is>
      </c>
    </row>
    <row r="7" ht="23" customHeight="1">
      <c r="A7" s="16" t="inlineStr">
        <is>
          <t>PDF filename inventory</t>
        </is>
      </c>
      <c r="B7" s="16" t="inlineStr">
        <is>
          <t>/work/courses/dslab/team-16/exam-toolkit-dhest/demo_workspace/RawExams</t>
        </is>
      </c>
    </row>
    <row r="8" ht="23" customHeight="1">
      <c r="A8" s="14" t="inlineStr">
        <is>
          <t>Valid scored exams</t>
        </is>
      </c>
      <c r="B8" s="15" t="n">
        <v>2</v>
      </c>
    </row>
    <row r="9" ht="23" customHeight="1">
      <c r="A9" s="16" t="inlineStr">
        <is>
          <t>Rubric criteria</t>
        </is>
      </c>
      <c r="B9" s="17" t="n">
        <v>5</v>
      </c>
    </row>
    <row r="10" ht="23" customHeight="1">
      <c r="A10" s="14" t="inlineStr">
        <is>
          <t>Maximum points</t>
        </is>
      </c>
      <c r="B10" s="15" t="n">
        <v>6</v>
      </c>
    </row>
    <row r="11" ht="23" customHeight="1">
      <c r="A11" s="16" t="inlineStr">
        <is>
          <t>Flagged exams</t>
        </is>
      </c>
      <c r="B11" s="17" t="n">
        <v>1</v>
      </c>
    </row>
    <row r="12" ht="23" customHeight="1">
      <c r="A12" s="14" t="inlineStr">
        <is>
          <t>Review reference rows</t>
        </is>
      </c>
      <c r="B12" s="15" t="n">
        <v>1</v>
      </c>
    </row>
    <row r="13" ht="23" customHeight="1">
      <c r="A13" s="16" t="inlineStr">
        <is>
          <t>Pending PDF results</t>
        </is>
      </c>
      <c r="B13" s="17" t="n">
        <v>0</v>
      </c>
    </row>
    <row r="14" ht="23" customHeight="1">
      <c r="A14" s="14" t="inlineStr">
        <is>
          <t>Review authority</t>
        </is>
      </c>
      <c r="B14" s="14" t="inlineStr">
        <is>
          <t>Only the JSON's exam-level human_review_recommended flag selects an exam for review.</t>
        </is>
      </c>
    </row>
    <row r="15" ht="38" customHeight="1">
      <c r="A15" s="16" t="inlineStr">
        <is>
          <t>Reference rows</t>
        </is>
      </c>
      <c r="B15" s="16" t="inlineStr">
        <is>
          <t>Mentions in human_review_reason are navigation aids, not independently recorded item-level flags. Read the full reason; a mention may be context or a dependency.</t>
        </is>
      </c>
    </row>
    <row r="16" ht="38" customHeight="1">
      <c r="A16" s="14" t="inlineStr">
        <is>
          <t>Unlocalized issues</t>
        </is>
      </c>
      <c r="B16" s="14" t="inlineStr">
        <is>
          <t>Every flagged exam is in Flagged exams. With no recognized reference it also has an EXAM row in Review queue. General issues mixed with references remain in the full reason.</t>
        </is>
      </c>
    </row>
    <row r="17" ht="38" customHeight="1">
      <c r="A17" s="16" t="inlineStr">
        <is>
          <t>Reference syntax</t>
        </is>
      </c>
      <c r="B17" s="16" t="inlineStr">
        <is>
          <t>Recognizes exact configured criterion/part labels and simple parenthesized aliases; whole problem mentions require an explicit prefix. No range or natural-language scope inference. Read the full reason.</t>
        </is>
      </c>
    </row>
    <row r="18" ht="38" customHeight="1">
      <c r="A18" s="14" t="inlineStr">
        <is>
          <t>Text preservation</t>
        </is>
      </c>
      <c r="B18" s="14" t="inlineStr">
        <is>
          <t>Review reasons and item explanations retain the source text. XLSX strings are literal; CSV text starting with a formula trigger gets an apostrophe for safety.</t>
        </is>
      </c>
    </row>
    <row r="19" ht="38" customHeight="1">
      <c r="A19" s="16" t="inlineStr">
        <is>
          <t>Source linkage</t>
        </is>
      </c>
      <c r="B19" s="16" t="inlineStr">
        <is>
          <t>Explanations and Flagged exams identify source JSON filenames. Source SHA256 values below identify the bytes read by this compilation, not the PDFs/model used during scoring.</t>
        </is>
      </c>
    </row>
    <row r="20" ht="53" customHeight="1">
      <c r="A20" s="14" t="inlineStr">
        <is>
          <t>Provenance limit</t>
        </is>
      </c>
      <c r="B20" s="14" t="inlineStr">
        <is>
          <t>The generic scorer writes separate .provenance sidecars. This compiler records the JSON snapshot hashes but does not verify those sidecars or model conditions. Use the scorer --check for local input/provenance checks; a live resume also compares model settings. Neither checks correctness.</t>
        </is>
      </c>
    </row>
    <row r="21" ht="38" customHeight="1">
      <c r="A21" s="16" t="inlineStr">
        <is>
          <t>Identifiers</t>
        </is>
      </c>
      <c r="B21" s="16" t="inlineStr">
        <is>
          <t>Exam Number is the configured filename id group, not an inferred person identity. Original zero padding is retained; --width only adds display zeros. Full filename stems are retained in source columns.</t>
        </is>
      </c>
    </row>
    <row r="22" ht="38" customHeight="1">
      <c r="A22" s="14" t="inlineStr">
        <is>
          <t>Derived values</t>
        </is>
      </c>
      <c r="B22" s="14" t="inlineStr">
        <is>
          <t>XLSX totals/subtotals are formulas with initial numeric caches; CSV values are computed from the same scores. No new score rounding or half-point grid is imposed. Excel has finite numeric precision.</t>
        </is>
      </c>
    </row>
    <row r="23" ht="38" customHeight="1">
      <c r="A23" s="16" t="inlineStr">
        <is>
          <t>Snapshot</t>
        </is>
      </c>
      <c r="B23" s="16" t="inlineStr">
        <is>
          <t>This is a compilation snapshot, not a live dashboard or an automatic correction workflow. Editing a workbook never changes the scoring JSON or the other workbook/CSVs.</t>
        </is>
      </c>
    </row>
    <row r="24" ht="38" customHeight="1">
      <c r="A24" s="14" t="inlineStr">
        <is>
          <t>Completeness</t>
        </is>
      </c>
      <c r="B24" s="14" t="inlineStr">
        <is>
          <t>Only valid JSON files are included. Pending exams have no score row, not zero points. Use --require-complete for an exact filename-inventory gate.</t>
        </is>
      </c>
    </row>
    <row r="25" ht="38" customHeight="1">
      <c r="A25" s="16" t="inlineStr">
        <is>
          <t>Snapshot consistency</t>
        </is>
      </c>
      <c r="B25" s="16" t="inlineStr">
        <is>
          <t>Do not edit scoring JSON while compiling. Each JSON is read once; its hash is recorded. Finish scoring first for a stable complete batch.</t>
        </is>
      </c>
    </row>
    <row r="26" ht="53" customHeight="1">
      <c r="A26" s="9" t="inlineStr">
        <is>
          <t>/work/courses/dslab/team-16/exam-toolkit-dhest/demo_workspace/evals/Exam001.json</t>
        </is>
      </c>
      <c r="B26" s="9" t="inlineStr">
        <is>
          <t>SHA256 d0f029592dec9c1f4d48bc8ee9f3ba60b46f9a023b06502cec557626c2b44672</t>
        </is>
      </c>
    </row>
    <row r="27" ht="53" customHeight="1">
      <c r="A27" s="4" t="inlineStr">
        <is>
          <t>/work/courses/dslab/team-16/exam-toolkit-dhest/demo_workspace/evals/Exam002.json</t>
        </is>
      </c>
      <c r="B27" s="4" t="inlineStr">
        <is>
          <t>SHA256 a283a6dfe4a082f502e36a5ae47c410c875367f22b80ca0af0f9736201d8154d</t>
        </is>
      </c>
    </row>
  </sheetData>
  <autoFilter ref="A1:B27"/>
  <printOptions horizontalCentered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Exam scoring compiler</dc:creator>
  <dc:title>Synthetic constant-speed example - scores</dc:title>
  <dcterms:created xsi:type="dcterms:W3CDTF">2026-10-27T09:28:19Z</dcterms:created>
  <dcterms:modified xsi:type="dcterms:W3CDTF">2026-10-27T09:28:19Z</dcterms:modified>
</cp:coreProperties>
</file>